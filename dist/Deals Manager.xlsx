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2" windowHeight="7956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2" i="1"/>
  <c r="E2" l="1"/>
  <c r="L2" s="1"/>
  <c r="N2" l="1"/>
  <c r="M2" s="1"/>
</calcChain>
</file>

<file path=xl/comments1.xml><?xml version="1.0" encoding="utf-8"?>
<comments xmlns="http://schemas.openxmlformats.org/spreadsheetml/2006/main">
  <authors>
    <author>Author</author>
  </authors>
  <commentList>
    <comment ref="J2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11000 received 3000 was qarz hasana</t>
        </r>
      </text>
    </comment>
  </commentList>
</comments>
</file>

<file path=xl/sharedStrings.xml><?xml version="1.0" encoding="utf-8"?>
<sst xmlns="http://schemas.openxmlformats.org/spreadsheetml/2006/main" count="16" uniqueCount="16">
  <si>
    <t>Deal No</t>
  </si>
  <si>
    <t>Total</t>
  </si>
  <si>
    <t>Customer</t>
  </si>
  <si>
    <t>Referral</t>
  </si>
  <si>
    <t>Profit %</t>
  </si>
  <si>
    <t>Saeed</t>
  </si>
  <si>
    <t>Mobile No</t>
  </si>
  <si>
    <t>Instalment</t>
  </si>
  <si>
    <t>Recovered Amount</t>
  </si>
  <si>
    <t>Remaining Amount</t>
  </si>
  <si>
    <t>Deal Date</t>
  </si>
  <si>
    <t>Months</t>
  </si>
  <si>
    <t>Invested</t>
  </si>
  <si>
    <t>sagheer</t>
  </si>
  <si>
    <t>Received</t>
  </si>
  <si>
    <t>Instal Rcvd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</si>
</sst>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[$-409]d\-mmm\-yy"/>
  </numFmts>
  <fonts count="9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2"/>
      <color theme="1"/>
      <name val="Arial Black"/>
      <family val="2"/>
    </font>
    <font>
      <sz val="11"/>
      <color theme="1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Border="1"/>
    <xf numFmtId="0" fontId="5" fillId="0" borderId="0" xfId="0" applyFont="1" applyBorder="1"/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/>
    <xf numFmtId="0" fontId="3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00B050"/>
          <bgColor rgb="FF00B05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>
      <selection activeCell="I2" sqref="I2"/>
    </sheetView>
  </sheetViews>
  <sheetFormatPr defaultColWidth="9.109375" defaultRowHeight="14.4"/>
  <cols>
    <col min="2" max="2" width="12.33203125" bestFit="1" customWidth="1"/>
    <col min="3" max="3" width="10.6640625" customWidth="1"/>
    <col min="4" max="4" width="10.109375" customWidth="1"/>
    <col min="5" max="5" width="13.88671875" customWidth="1"/>
    <col min="6" max="6" width="30.44140625" bestFit="1" customWidth="1"/>
    <col min="7" max="7" width="14.33203125" customWidth="1"/>
    <col min="8" max="8" width="13.109375" customWidth="1"/>
    <col min="9" max="9" width="15.5546875" bestFit="1" customWidth="1"/>
    <col min="10" max="10" width="12.44140625" customWidth="1"/>
    <col min="12" max="12" width="15.5546875" bestFit="1" customWidth="1"/>
    <col min="13" max="13" width="15.5546875" customWidth="1"/>
    <col min="14" max="14" width="15.5546875" bestFit="1" customWidth="1"/>
  </cols>
  <sheetData>
    <row r="1" spans="1:14" ht="31.2">
      <c r="A1" s="1" t="s">
        <v>0</v>
      </c>
      <c r="B1" s="2" t="s">
        <v>10</v>
      </c>
      <c r="C1" s="1" t="s">
        <v>12</v>
      </c>
      <c r="D1" s="3" t="s">
        <v>11</v>
      </c>
      <c r="E1" s="1" t="s">
        <v>1</v>
      </c>
      <c r="F1" s="1" t="s">
        <v>2</v>
      </c>
      <c r="G1" s="1" t="s">
        <v>6</v>
      </c>
      <c r="H1" s="1" t="s">
        <v>3</v>
      </c>
      <c r="I1" s="1" t="s">
        <v>7</v>
      </c>
      <c r="J1" s="1" t="s">
        <v>14</v>
      </c>
      <c r="K1" s="1" t="s">
        <v>15</v>
      </c>
      <c r="L1" s="4" t="s">
        <v>4</v>
      </c>
      <c r="M1" s="1" t="s">
        <v>8</v>
      </c>
      <c r="N1" s="1" t="s">
        <v>9</v>
      </c>
    </row>
    <row r="2" spans="1:14" ht="15.6">
      <c r="A2" s="9">
        <v>100</v>
      </c>
      <c r="B2" s="5">
        <v>45990</v>
      </c>
      <c r="C2" s="6">
        <v>50000</v>
      </c>
      <c r="D2" s="7">
        <v>7</v>
      </c>
      <c r="E2" s="8">
        <f>D2*I2</f>
        <v>61666.64</v>
      </c>
      <c r="F2" s="6" t="s">
        <v>13</v>
      </c>
      <c r="G2" s="6">
        <v>3007862345</v>
      </c>
      <c r="H2" s="6" t="s">
        <v>5</v>
      </c>
      <c r="I2" s="6">
        <f>ROUND(((C2+(C2*D2*3.3333333333/100))/D2),2)</f>
        <v>8809.52</v>
      </c>
      <c r="J2" s="6">
        <v>7500</v>
      </c>
      <c r="K2" s="6">
        <v>5</v>
      </c>
      <c r="L2" s="6">
        <f>ROUND((((E2-C2)/D2)*D2)/C2*100,2)</f>
        <v>23.33</v>
      </c>
      <c r="M2" s="6">
        <f>E2-N2</f>
        <v>44047.6</v>
      </c>
      <c r="N2" s="6">
        <f>I2*(D2-K2)</f>
        <v>17619.04</v>
      </c>
    </row>
    <row r="3" spans="1:14" ht="18.600000000000001">
      <c r="L3" s="11"/>
      <c r="M3" s="11"/>
      <c r="N3" s="10"/>
    </row>
    <row r="4" spans="1:14" ht="18.600000000000001">
      <c r="L4" s="11"/>
      <c r="M4" s="11"/>
      <c r="N4" s="10"/>
    </row>
    <row r="5" spans="1:14" ht="18.600000000000001">
      <c r="F5" s="12"/>
      <c r="G5" s="12"/>
      <c r="H5" s="12"/>
      <c r="I5" s="12"/>
      <c r="J5" s="12"/>
      <c r="K5" s="13"/>
      <c r="L5" s="11"/>
      <c r="M5" s="11"/>
      <c r="N5" s="10"/>
    </row>
    <row r="6" spans="1:14" ht="18.600000000000001">
      <c r="F6" s="12"/>
      <c r="G6" s="12"/>
      <c r="H6" s="12"/>
      <c r="I6" s="12"/>
      <c r="J6" s="12"/>
      <c r="K6" s="12"/>
      <c r="L6" s="11"/>
      <c r="M6" s="11"/>
      <c r="N6" s="10"/>
    </row>
    <row r="7" spans="1:14" ht="15">
      <c r="F7" s="12"/>
      <c r="G7" s="12"/>
      <c r="H7" s="12"/>
      <c r="I7" s="12"/>
      <c r="J7" s="12"/>
      <c r="K7" s="12"/>
      <c r="L7" s="14"/>
      <c r="M7" s="14"/>
    </row>
    <row r="8" spans="1:14" ht="15">
      <c r="F8" s="12"/>
      <c r="G8" s="12"/>
      <c r="H8" s="12"/>
      <c r="I8" s="12"/>
      <c r="J8" s="15"/>
      <c r="K8" s="12"/>
      <c r="L8" s="14"/>
      <c r="M8" s="14"/>
    </row>
    <row r="9" spans="1:14" ht="15">
      <c r="F9" s="12"/>
      <c r="G9" s="12"/>
      <c r="H9" s="12"/>
      <c r="I9" s="12"/>
      <c r="J9" s="12"/>
      <c r="K9" s="12"/>
      <c r="L9" s="14"/>
      <c r="M9" s="14"/>
    </row>
    <row r="10" spans="1:14" ht="15">
      <c r="F10" s="12"/>
      <c r="G10" s="12"/>
      <c r="H10" s="12"/>
      <c r="I10" s="12"/>
      <c r="J10" s="12"/>
      <c r="K10" s="12"/>
      <c r="L10" s="14"/>
      <c r="M10" s="14"/>
    </row>
    <row r="11" spans="1:14" ht="15">
      <c r="F11" s="12"/>
      <c r="G11" s="12"/>
      <c r="H11" s="12"/>
      <c r="I11" s="12"/>
      <c r="J11" s="15"/>
      <c r="K11" s="15"/>
      <c r="L11" s="10"/>
      <c r="M11" s="10"/>
    </row>
    <row r="12" spans="1:14" ht="15">
      <c r="F12" s="12"/>
      <c r="G12" s="12"/>
      <c r="H12" s="12"/>
      <c r="I12" s="12"/>
      <c r="J12" s="12"/>
      <c r="K12" s="12"/>
      <c r="L12" s="10"/>
      <c r="M12" s="10"/>
    </row>
    <row r="13" spans="1:14" ht="15">
      <c r="F13" s="12"/>
      <c r="G13" s="12"/>
      <c r="H13" s="12"/>
      <c r="I13" s="12"/>
      <c r="J13" s="12"/>
      <c r="K13" s="12"/>
      <c r="L13" s="10"/>
      <c r="M13" s="10"/>
    </row>
    <row r="14" spans="1:14" ht="15">
      <c r="F14" s="12"/>
      <c r="G14" s="12"/>
      <c r="H14" s="12"/>
      <c r="I14" s="12"/>
      <c r="J14" s="12"/>
      <c r="K14" s="12"/>
      <c r="L14" s="10"/>
      <c r="M14" s="10"/>
    </row>
    <row r="15" spans="1:14" ht="15">
      <c r="F15" s="12"/>
      <c r="G15" s="12"/>
      <c r="H15" s="16"/>
      <c r="I15" s="16"/>
      <c r="J15" s="16"/>
      <c r="K15" s="16"/>
      <c r="L15" s="10"/>
      <c r="M15" s="10"/>
    </row>
    <row r="16" spans="1:14" ht="15">
      <c r="F16" s="12"/>
      <c r="G16" s="12"/>
      <c r="H16" s="16"/>
      <c r="I16" s="16"/>
      <c r="J16" s="16"/>
      <c r="K16" s="16"/>
      <c r="L16" s="10"/>
      <c r="M16" s="10"/>
    </row>
    <row r="17" spans="6:13" ht="15">
      <c r="F17" s="10"/>
      <c r="G17" s="10"/>
      <c r="H17" s="10"/>
      <c r="I17" s="12"/>
      <c r="J17" s="12"/>
      <c r="K17" s="10"/>
      <c r="L17" s="10"/>
      <c r="M17" s="10"/>
    </row>
    <row r="18" spans="6:13">
      <c r="F18" s="10"/>
      <c r="G18" s="10"/>
      <c r="H18" s="10"/>
      <c r="I18" s="10"/>
      <c r="J18" s="10"/>
      <c r="K18" s="10"/>
      <c r="L18" s="10"/>
      <c r="M18" s="10"/>
    </row>
  </sheetData>
  <conditionalFormatting sqref="L1:L2 N1:N2">
    <cfRule type="cellIs" dxfId="0" priority="2" operator="equal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</dc:creator>
  <cp:lastModifiedBy>Usaid Ahmad</cp:lastModifiedBy>
  <dcterms:created xsi:type="dcterms:W3CDTF">2026-05-22T15:34:51Z</dcterms:created>
  <dcterms:modified xsi:type="dcterms:W3CDTF">2026-05-22T19:23:52Z</dcterms:modified>
</cp:coreProperties>
</file>